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Estimation" sheetId="1" state="visible" r:id="rId3"/>
    <sheet name="Development Timelin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<sst xmlns="http://schemas.openxmlformats.org/spreadsheetml/2006/main" count="59" uniqueCount="57">
  <si>
    <t xml:space="preserve">Cost Estimation — Outpatient Wait-Time AI System</t>
  </si>
  <si>
    <t xml:space="preserve">Mindtone Mental Health Clinic  |  Figures in USD  |  Blue cells are editable assumptions</t>
  </si>
  <si>
    <t xml:space="preserve">A. One-Time Development Costs (Pilot Build)</t>
  </si>
  <si>
    <t xml:space="preserve">Phase</t>
  </si>
  <si>
    <t xml:space="preserve">Duration (weeks)</t>
  </si>
  <si>
    <t xml:space="preserve">Team size (FTE)</t>
  </si>
  <si>
    <t xml:space="preserve">Hrs/week per FTE</t>
  </si>
  <si>
    <t xml:space="preserve">Estimated hours</t>
  </si>
  <si>
    <t xml:space="preserve">Blended rate ($/hr)</t>
  </si>
  <si>
    <t xml:space="preserve">Cost ($)</t>
  </si>
  <si>
    <t xml:space="preserve">Discovery &amp; requirements</t>
  </si>
  <si>
    <t xml:space="preserve">Data collection &amp; integration</t>
  </si>
  <si>
    <t xml:space="preserve">Model development (wait-time engine)</t>
  </si>
  <si>
    <t xml:space="preserve">Queue optimizer &amp; scheduling logic</t>
  </si>
  <si>
    <t xml:space="preserve">Dashboard &amp; patient app (UI)</t>
  </si>
  <si>
    <t xml:space="preserve">Integration &amp; pilot (Psychiatry dept.)</t>
  </si>
  <si>
    <t xml:space="preserve">Staff training &amp; feedback loop</t>
  </si>
  <si>
    <t xml:space="preserve">Full rollout (all departments)</t>
  </si>
  <si>
    <t xml:space="preserve">Monitoring &amp; optimization (mo. 1)</t>
  </si>
  <si>
    <t xml:space="preserve">Total — One-time development</t>
  </si>
  <si>
    <t xml:space="preserve">B. Ongoing Monthly Costs (Post-Launch)</t>
  </si>
  <si>
    <t xml:space="preserve">Item</t>
  </si>
  <si>
    <t xml:space="preserve">Monthly cost ($)</t>
  </si>
  <si>
    <t xml:space="preserve">Cloud hosting &amp; infrastructure</t>
  </si>
  <si>
    <t xml:space="preserve">Model monitoring &amp; scheduled retraining (part-time ML eng.)</t>
  </si>
  <si>
    <t xml:space="preserve">SMS / WhatsApp notification gateway fees</t>
  </si>
  <si>
    <t xml:space="preserve">Support &amp; maintenance (allocated)</t>
  </si>
  <si>
    <t xml:space="preserve">Total monthly ongoing cost</t>
  </si>
  <si>
    <t xml:space="preserve">C. Year 1 Total Investment Summary</t>
  </si>
  <si>
    <t xml:space="preserve">One-time development (Section A)</t>
  </si>
  <si>
    <t xml:space="preserve">Ongoing costs — 11 months post-pilot</t>
  </si>
  <si>
    <t xml:space="preserve">Year 1 total investment</t>
  </si>
  <si>
    <t xml:space="preserve">Note: rates and durations (blue cells) are estimates for planning; confirm actual vendor/staff rates during discovery.</t>
  </si>
  <si>
    <t xml:space="preserve">Development Timeline — 14-Week Plan</t>
  </si>
  <si>
    <t xml:space="preserve">Mindtone Mental Health Clinic  |  Start = weeks elapsed from project kickoff. End date computed from Start + Duration.</t>
  </si>
  <si>
    <t xml:space="preserve">Start (week)</t>
  </si>
  <si>
    <t xml:space="preserve">End (week)</t>
  </si>
  <si>
    <t xml:space="preserve">Key deliverable</t>
  </si>
  <si>
    <t xml:space="preserve">1. Discovery &amp; requirements</t>
  </si>
  <si>
    <t xml:space="preserve">Signed-off requirements &amp; data audit</t>
  </si>
  <si>
    <t xml:space="preserve">2. Data collection &amp; integration</t>
  </si>
  <si>
    <t xml:space="preserve">Unified Mindtone dataset</t>
  </si>
  <si>
    <t xml:space="preserve">3. Model development (wait-time engine)</t>
  </si>
  <si>
    <t xml:space="preserve">Validated prediction model (MAE/RMSE/R2 report)</t>
  </si>
  <si>
    <t xml:space="preserve">4. Queue optimizer &amp; scheduling logic</t>
  </si>
  <si>
    <t xml:space="preserve">Working optimizer against historical data</t>
  </si>
  <si>
    <t xml:space="preserve">5. Dashboard &amp; patient app (UI)</t>
  </si>
  <si>
    <t xml:space="preserve">Staff dashboard + patient wait-time view</t>
  </si>
  <si>
    <t xml:space="preserve">6. Integration &amp; pilot (Psychiatry dept.)</t>
  </si>
  <si>
    <t xml:space="preserve">Live pilot in Psychiatry</t>
  </si>
  <si>
    <t xml:space="preserve">7. Staff training &amp; feedback loop</t>
  </si>
  <si>
    <t xml:space="preserve">Trained staff, documented feedback</t>
  </si>
  <si>
    <t xml:space="preserve">8. Full rollout (all departments)</t>
  </si>
  <si>
    <t xml:space="preserve">Psychiatry, Counseling &amp; Addiction Therapy live</t>
  </si>
  <si>
    <t xml:space="preserve">9. Monitoring &amp; optimization</t>
  </si>
  <si>
    <t xml:space="preserve">Drift monitoring &amp; first retrain cycle</t>
  </si>
  <si>
    <t xml:space="preserve">Total project duration (weeks)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</si>
</sst>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C447C"/>
      <name val="Arial"/>
      <family val="0"/>
      <charset val="1"/>
    </font>
    <font>
      <i val="true"/>
      <sz val="10"/>
      <color rgb="FF44444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C447C"/>
        <bgColor rgb="FF333399"/>
      </patternFill>
    </fill>
    <fill>
      <patternFill patternType="solid">
        <fgColor rgb="FFE6F1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2A9"/>
      <rgbColor rgb="FF878787"/>
      <rgbColor rgb="FF9999FF"/>
      <rgbColor rgb="FF993366"/>
      <rgbColor rgb="FFFFFFCC"/>
      <rgbColor rgb="FFE6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447C"/>
      <rgbColor rgb="FF339966"/>
      <rgbColor rgb="FF003300"/>
      <rgbColor rgb="FF333300"/>
      <rgbColor rgb="FF993300"/>
      <rgbColor rgb="FF993366"/>
      <rgbColor rgb="FF33339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Development Timeline (Gantt view)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'Development Timeline'!C5</c:f>
              <c:strCache>
                <c:ptCount val="1"/>
                <c:pt idx="0">
                  <c:v>Start (week)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'Development Timeline'!$B$6:$B$14</c:f>
              <c:strCache>
                <c:ptCount val="9"/>
                <c:pt idx="0">
                  <c:v>1. Discovery &amp; requirements</c:v>
                </c:pt>
                <c:pt idx="1">
                  <c:v>2. Data collection &amp; integration</c:v>
                </c:pt>
                <c:pt idx="2">
                  <c:v>3. Model development (wait-time engine)</c:v>
                </c:pt>
                <c:pt idx="3">
                  <c:v>4. Queue optimizer &amp; scheduling logic</c:v>
                </c:pt>
                <c:pt idx="4">
                  <c:v>5. Dashboard &amp; patient app (UI)</c:v>
                </c:pt>
                <c:pt idx="5">
                  <c:v>6. Integration &amp; pilot (Psychiatry dept.)</c:v>
                </c:pt>
                <c:pt idx="6">
                  <c:v>7. Staff training &amp; feedback loop</c:v>
                </c:pt>
                <c:pt idx="7">
                  <c:v>8. Full rollout (all departments)</c:v>
                </c:pt>
                <c:pt idx="8">
                  <c:v>9. Monitoring &amp; optimization</c:v>
                </c:pt>
              </c:strCache>
            </c:strRef>
          </c:cat>
          <c:val>
            <c:numRef>
              <c:f>'Development Timeline'!$C$6:$C$14</c:f>
              <c:numCache>
                <c:formatCode>General</c:formatCode>
                <c:ptCount val="9"/>
                <c:pt idx="0">
                  <c:v>0</c:v>
                </c:pt>
                <c:pt idx="1">
                  <c:v>1.5</c:v>
                </c:pt>
                <c:pt idx="2">
                  <c:v>3.5</c:v>
                </c:pt>
                <c:pt idx="3">
                  <c:v>4.5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</c:numCache>
            </c:numRef>
          </c:val>
        </c:ser>
        <c:ser>
          <c:idx val="1"/>
          <c:order val="1"/>
          <c:tx>
            <c:strRef>
              <c:f>'Development Timeline'!D5</c:f>
              <c:strCache>
                <c:ptCount val="1"/>
                <c:pt idx="0">
                  <c:v>Duration (weeks)</c:v>
                </c:pt>
              </c:strCache>
            </c:strRef>
          </c:tx>
          <c:spPr>
            <a:solidFill>
              <a:srgbClr val="0c447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'Development Timeline'!$B$6:$B$14</c:f>
              <c:strCache>
                <c:ptCount val="9"/>
                <c:pt idx="0">
                  <c:v>1. Discovery &amp; requirements</c:v>
                </c:pt>
                <c:pt idx="1">
                  <c:v>2. Data collection &amp; integration</c:v>
                </c:pt>
                <c:pt idx="2">
                  <c:v>3. Model development (wait-time engine)</c:v>
                </c:pt>
                <c:pt idx="3">
                  <c:v>4. Queue optimizer &amp; scheduling logic</c:v>
                </c:pt>
                <c:pt idx="4">
                  <c:v>5. Dashboard &amp; patient app (UI)</c:v>
                </c:pt>
                <c:pt idx="5">
                  <c:v>6. Integration &amp; pilot (Psychiatry dept.)</c:v>
                </c:pt>
                <c:pt idx="6">
                  <c:v>7. Staff training &amp; feedback loop</c:v>
                </c:pt>
                <c:pt idx="7">
                  <c:v>8. Full rollout (all departments)</c:v>
                </c:pt>
                <c:pt idx="8">
                  <c:v>9. Monitoring &amp; optimization</c:v>
                </c:pt>
              </c:strCache>
            </c:strRef>
          </c:cat>
          <c:val>
            <c:numRef>
              <c:f>'Development Timeline'!$D$6:$D$14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3.5</c:v>
                </c:pt>
                <c:pt idx="5">
                  <c:v>2.5</c:v>
                </c:pt>
                <c:pt idx="6">
                  <c:v>2</c:v>
                </c:pt>
                <c:pt idx="7">
                  <c:v>1.5</c:v>
                </c:pt>
                <c:pt idx="8">
                  <c:v>2</c:v>
                </c:pt>
              </c:numCache>
            </c:numRef>
          </c:val>
        </c:ser>
        <c:gapWidth val="150"/>
        <c:overlap val="100"/>
        <c:axId val="13980703"/>
        <c:axId val="33206865"/>
      </c:barChart>
      <c:catAx>
        <c:axId val="1398070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206865"/>
        <c:crosses val="autoZero"/>
        <c:auto val="1"/>
        <c:lblAlgn val="ctr"/>
        <c:lblOffset val="100"/>
        <c:noMultiLvlLbl val="0"/>
      </c:catAx>
      <c:valAx>
        <c:axId val="332068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9807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171000</xdr:rowOff>
    </xdr:from>
    <xdr:to>
      <xdr:col>5</xdr:col>
      <xdr:colOff>1701720</xdr:colOff>
      <xdr:row>32</xdr:row>
      <xdr:rowOff>172080</xdr:rowOff>
    </xdr:to>
    <xdr:graphicFrame>
      <xdr:nvGraphicFramePr>
        <xdr:cNvPr id="0" name="Chart 1"/>
        <xdr:cNvGraphicFramePr/>
      </xdr:nvGraphicFramePr>
      <xdr:xfrm>
        <a:off x="211320" y="323856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6.8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</row>
    <row r="7" customFormat="false" ht="15" hidden="false" customHeight="false" outlineLevel="0" collapsed="false">
      <c r="B7" s="5" t="s">
        <v>10</v>
      </c>
      <c r="C7" s="6" t="n">
        <v>2</v>
      </c>
      <c r="D7" s="6" t="n">
        <v>1.5</v>
      </c>
      <c r="E7" s="6" t="n">
        <v>40</v>
      </c>
      <c r="F7" s="7" t="n">
        <f aca="false">C7*D7*E7</f>
        <v>120</v>
      </c>
      <c r="G7" s="6" t="n">
        <v>65</v>
      </c>
      <c r="H7" s="8" t="n">
        <f aca="false">F7*G7</f>
        <v>7800</v>
      </c>
    </row>
    <row r="8" customFormat="false" ht="15" hidden="false" customHeight="false" outlineLevel="0" collapsed="false">
      <c r="B8" s="5" t="s">
        <v>11</v>
      </c>
      <c r="C8" s="6" t="n">
        <v>3</v>
      </c>
      <c r="D8" s="6" t="n">
        <v>1</v>
      </c>
      <c r="E8" s="6" t="n">
        <v>40</v>
      </c>
      <c r="F8" s="7" t="n">
        <f aca="false">C8*D8*E8</f>
        <v>120</v>
      </c>
      <c r="G8" s="6" t="n">
        <v>70</v>
      </c>
      <c r="H8" s="8" t="n">
        <f aca="false">F8*G8</f>
        <v>8400</v>
      </c>
    </row>
    <row r="9" customFormat="false" ht="15" hidden="false" customHeight="false" outlineLevel="0" collapsed="false">
      <c r="B9" s="5" t="s">
        <v>12</v>
      </c>
      <c r="C9" s="6" t="n">
        <v>3</v>
      </c>
      <c r="D9" s="6" t="n">
        <v>1</v>
      </c>
      <c r="E9" s="6" t="n">
        <v>40</v>
      </c>
      <c r="F9" s="7" t="n">
        <f aca="false">C9*D9*E9</f>
        <v>120</v>
      </c>
      <c r="G9" s="6" t="n">
        <v>85</v>
      </c>
      <c r="H9" s="8" t="n">
        <f aca="false">F9*G9</f>
        <v>10200</v>
      </c>
    </row>
    <row r="10" customFormat="false" ht="15" hidden="false" customHeight="false" outlineLevel="0" collapsed="false">
      <c r="B10" s="5" t="s">
        <v>13</v>
      </c>
      <c r="C10" s="6" t="n">
        <v>3</v>
      </c>
      <c r="D10" s="6" t="n">
        <v>1</v>
      </c>
      <c r="E10" s="6" t="n">
        <v>40</v>
      </c>
      <c r="F10" s="7" t="n">
        <f aca="false">C10*D10*E10</f>
        <v>120</v>
      </c>
      <c r="G10" s="6" t="n">
        <v>75</v>
      </c>
      <c r="H10" s="8" t="n">
        <f aca="false">F10*G10</f>
        <v>9000</v>
      </c>
    </row>
    <row r="11" customFormat="false" ht="15" hidden="false" customHeight="false" outlineLevel="0" collapsed="false">
      <c r="B11" s="5" t="s">
        <v>14</v>
      </c>
      <c r="C11" s="6" t="n">
        <v>3.5</v>
      </c>
      <c r="D11" s="6" t="n">
        <v>1.5</v>
      </c>
      <c r="E11" s="6" t="n">
        <v>40</v>
      </c>
      <c r="F11" s="7" t="n">
        <f aca="false">C11*D11*E11</f>
        <v>210</v>
      </c>
      <c r="G11" s="6" t="n">
        <v>70</v>
      </c>
      <c r="H11" s="8" t="n">
        <f aca="false">F11*G11</f>
        <v>14700</v>
      </c>
    </row>
    <row r="12" customFormat="false" ht="15" hidden="false" customHeight="false" outlineLevel="0" collapsed="false">
      <c r="B12" s="5" t="s">
        <v>15</v>
      </c>
      <c r="C12" s="6" t="n">
        <v>2.5</v>
      </c>
      <c r="D12" s="6" t="n">
        <v>1.5</v>
      </c>
      <c r="E12" s="6" t="n">
        <v>40</v>
      </c>
      <c r="F12" s="7" t="n">
        <f aca="false">C12*D12*E12</f>
        <v>150</v>
      </c>
      <c r="G12" s="6" t="n">
        <v>70</v>
      </c>
      <c r="H12" s="8" t="n">
        <f aca="false">F12*G12</f>
        <v>10500</v>
      </c>
    </row>
    <row r="13" customFormat="false" ht="15" hidden="false" customHeight="false" outlineLevel="0" collapsed="false">
      <c r="B13" s="5" t="s">
        <v>16</v>
      </c>
      <c r="C13" s="6" t="n">
        <v>2</v>
      </c>
      <c r="D13" s="6" t="n">
        <v>1</v>
      </c>
      <c r="E13" s="6" t="n">
        <v>40</v>
      </c>
      <c r="F13" s="7" t="n">
        <f aca="false">C13*D13*E13</f>
        <v>80</v>
      </c>
      <c r="G13" s="6" t="n">
        <v>55</v>
      </c>
      <c r="H13" s="8" t="n">
        <f aca="false">F13*G13</f>
        <v>4400</v>
      </c>
    </row>
    <row r="14" customFormat="false" ht="15" hidden="false" customHeight="false" outlineLevel="0" collapsed="false">
      <c r="B14" s="5" t="s">
        <v>17</v>
      </c>
      <c r="C14" s="6" t="n">
        <v>1.5</v>
      </c>
      <c r="D14" s="6" t="n">
        <v>1</v>
      </c>
      <c r="E14" s="6" t="n">
        <v>40</v>
      </c>
      <c r="F14" s="7" t="n">
        <f aca="false">C14*D14*E14</f>
        <v>60</v>
      </c>
      <c r="G14" s="6" t="n">
        <v>70</v>
      </c>
      <c r="H14" s="8" t="n">
        <f aca="false">F14*G14</f>
        <v>4200</v>
      </c>
    </row>
    <row r="15" customFormat="false" ht="15" hidden="false" customHeight="false" outlineLevel="0" collapsed="false">
      <c r="B15" s="5" t="s">
        <v>18</v>
      </c>
      <c r="C15" s="6" t="n">
        <v>2</v>
      </c>
      <c r="D15" s="6" t="n">
        <v>1</v>
      </c>
      <c r="E15" s="6" t="n">
        <v>40</v>
      </c>
      <c r="F15" s="7" t="n">
        <f aca="false">C15*D15*E15</f>
        <v>80</v>
      </c>
      <c r="G15" s="6" t="n">
        <v>75</v>
      </c>
      <c r="H15" s="8" t="n">
        <f aca="false">F15*G15</f>
        <v>6000</v>
      </c>
    </row>
    <row r="16" customFormat="false" ht="15" hidden="false" customHeight="false" outlineLevel="0" collapsed="false">
      <c r="B16" s="9" t="s">
        <v>19</v>
      </c>
      <c r="C16" s="10"/>
      <c r="D16" s="10"/>
      <c r="E16" s="10"/>
      <c r="F16" s="9" t="n">
        <f aca="false">SUM(F7:F15)</f>
        <v>1060</v>
      </c>
      <c r="G16" s="10"/>
      <c r="H16" s="11" t="n">
        <f aca="false">SUM(H7:H15)</f>
        <v>75200</v>
      </c>
    </row>
    <row r="19" customFormat="false" ht="15" hidden="false" customHeight="false" outlineLevel="0" collapsed="false">
      <c r="B19" s="3" t="s">
        <v>20</v>
      </c>
    </row>
    <row r="20" customFormat="false" ht="26.85" hidden="false" customHeight="false" outlineLevel="0" collapsed="false">
      <c r="B20" s="4" t="s">
        <v>21</v>
      </c>
      <c r="C20" s="4" t="s">
        <v>22</v>
      </c>
    </row>
    <row r="21" customFormat="false" ht="15" hidden="false" customHeight="false" outlineLevel="0" collapsed="false">
      <c r="B21" s="5" t="s">
        <v>23</v>
      </c>
      <c r="C21" s="12" t="n">
        <v>300</v>
      </c>
    </row>
    <row r="22" customFormat="false" ht="15" hidden="false" customHeight="false" outlineLevel="0" collapsed="false">
      <c r="B22" s="5" t="s">
        <v>24</v>
      </c>
      <c r="C22" s="12" t="n">
        <v>800</v>
      </c>
    </row>
    <row r="23" customFormat="false" ht="15" hidden="false" customHeight="false" outlineLevel="0" collapsed="false">
      <c r="B23" s="5" t="s">
        <v>25</v>
      </c>
      <c r="C23" s="12" t="n">
        <v>150</v>
      </c>
    </row>
    <row r="24" customFormat="false" ht="15" hidden="false" customHeight="false" outlineLevel="0" collapsed="false">
      <c r="B24" s="5" t="s">
        <v>26</v>
      </c>
      <c r="C24" s="12" t="n">
        <v>600</v>
      </c>
    </row>
    <row r="25" customFormat="false" ht="15" hidden="false" customHeight="false" outlineLevel="0" collapsed="false">
      <c r="B25" s="9" t="s">
        <v>27</v>
      </c>
      <c r="C25" s="11" t="n">
        <f aca="false">SUM(C21:C24)</f>
        <v>1850</v>
      </c>
    </row>
    <row r="28" customFormat="false" ht="15" hidden="false" customHeight="false" outlineLevel="0" collapsed="false">
      <c r="B28" s="3" t="s">
        <v>28</v>
      </c>
    </row>
    <row r="29" customFormat="false" ht="15" hidden="false" customHeight="false" outlineLevel="0" collapsed="false">
      <c r="B29" s="5" t="s">
        <v>29</v>
      </c>
      <c r="C29" s="13" t="n">
        <f aca="false">H16</f>
        <v>75200</v>
      </c>
    </row>
    <row r="30" customFormat="false" ht="15" hidden="false" customHeight="false" outlineLevel="0" collapsed="false">
      <c r="B30" s="5" t="s">
        <v>30</v>
      </c>
      <c r="C30" s="13" t="n">
        <f aca="false">C25*11</f>
        <v>20350</v>
      </c>
    </row>
    <row r="31" customFormat="false" ht="15" hidden="false" customHeight="false" outlineLevel="0" collapsed="false">
      <c r="B31" s="14" t="s">
        <v>31</v>
      </c>
      <c r="C31" s="15" t="n">
        <f aca="false">C29+C30</f>
        <v>95550</v>
      </c>
    </row>
    <row r="33" customFormat="false" ht="15" hidden="false" customHeight="false" outlineLevel="0" collapsed="false">
      <c r="B33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45"/>
  </cols>
  <sheetData>
    <row r="2" customFormat="false" ht="19.7" hidden="false" customHeight="false" outlineLevel="0" collapsed="false">
      <c r="B2" s="1" t="s">
        <v>33</v>
      </c>
    </row>
    <row r="3" customFormat="false" ht="15" hidden="false" customHeight="false" outlineLevel="0" collapsed="false">
      <c r="B3" s="2" t="s">
        <v>34</v>
      </c>
    </row>
    <row r="5" customFormat="false" ht="26.85" hidden="false" customHeight="false" outlineLevel="0" collapsed="false">
      <c r="B5" s="4" t="s">
        <v>3</v>
      </c>
      <c r="C5" s="4" t="s">
        <v>35</v>
      </c>
      <c r="D5" s="4" t="s">
        <v>4</v>
      </c>
      <c r="E5" s="4" t="s">
        <v>36</v>
      </c>
      <c r="F5" s="4" t="s">
        <v>37</v>
      </c>
    </row>
    <row r="6" customFormat="false" ht="15" hidden="false" customHeight="false" outlineLevel="0" collapsed="false">
      <c r="B6" s="5" t="s">
        <v>38</v>
      </c>
      <c r="C6" s="6" t="n">
        <v>0</v>
      </c>
      <c r="D6" s="6" t="n">
        <v>2</v>
      </c>
      <c r="E6" s="7" t="n">
        <f aca="false">C6+D6</f>
        <v>2</v>
      </c>
      <c r="F6" s="5" t="s">
        <v>39</v>
      </c>
    </row>
    <row r="7" customFormat="false" ht="15" hidden="false" customHeight="false" outlineLevel="0" collapsed="false">
      <c r="B7" s="5" t="s">
        <v>40</v>
      </c>
      <c r="C7" s="6" t="n">
        <v>1.5</v>
      </c>
      <c r="D7" s="6" t="n">
        <v>3</v>
      </c>
      <c r="E7" s="7" t="n">
        <f aca="false">C7+D7</f>
        <v>4.5</v>
      </c>
      <c r="F7" s="5" t="s">
        <v>41</v>
      </c>
    </row>
    <row r="8" customFormat="false" ht="15" hidden="false" customHeight="false" outlineLevel="0" collapsed="false">
      <c r="B8" s="5" t="s">
        <v>42</v>
      </c>
      <c r="C8" s="6" t="n">
        <v>3.5</v>
      </c>
      <c r="D8" s="6" t="n">
        <v>3</v>
      </c>
      <c r="E8" s="7" t="n">
        <f aca="false">C8+D8</f>
        <v>6.5</v>
      </c>
      <c r="F8" s="5" t="s">
        <v>43</v>
      </c>
    </row>
    <row r="9" customFormat="false" ht="15" hidden="false" customHeight="false" outlineLevel="0" collapsed="false">
      <c r="B9" s="5" t="s">
        <v>44</v>
      </c>
      <c r="C9" s="6" t="n">
        <v>4.5</v>
      </c>
      <c r="D9" s="6" t="n">
        <v>3</v>
      </c>
      <c r="E9" s="7" t="n">
        <f aca="false">C9+D9</f>
        <v>7.5</v>
      </c>
      <c r="F9" s="5" t="s">
        <v>45</v>
      </c>
    </row>
    <row r="10" customFormat="false" ht="15" hidden="false" customHeight="false" outlineLevel="0" collapsed="false">
      <c r="B10" s="5" t="s">
        <v>46</v>
      </c>
      <c r="C10" s="6" t="n">
        <v>5</v>
      </c>
      <c r="D10" s="6" t="n">
        <v>3.5</v>
      </c>
      <c r="E10" s="7" t="n">
        <f aca="false">C10+D10</f>
        <v>8.5</v>
      </c>
      <c r="F10" s="5" t="s">
        <v>47</v>
      </c>
    </row>
    <row r="11" customFormat="false" ht="15" hidden="false" customHeight="false" outlineLevel="0" collapsed="false">
      <c r="B11" s="5" t="s">
        <v>48</v>
      </c>
      <c r="C11" s="6" t="n">
        <v>8</v>
      </c>
      <c r="D11" s="6" t="n">
        <v>2.5</v>
      </c>
      <c r="E11" s="7" t="n">
        <f aca="false">C11+D11</f>
        <v>10.5</v>
      </c>
      <c r="F11" s="5" t="s">
        <v>49</v>
      </c>
    </row>
    <row r="12" customFormat="false" ht="15" hidden="false" customHeight="false" outlineLevel="0" collapsed="false">
      <c r="B12" s="5" t="s">
        <v>50</v>
      </c>
      <c r="C12" s="6" t="n">
        <v>9</v>
      </c>
      <c r="D12" s="6" t="n">
        <v>2</v>
      </c>
      <c r="E12" s="7" t="n">
        <f aca="false">C12+D12</f>
        <v>11</v>
      </c>
      <c r="F12" s="5" t="s">
        <v>51</v>
      </c>
    </row>
    <row r="13" customFormat="false" ht="15" hidden="false" customHeight="false" outlineLevel="0" collapsed="false">
      <c r="B13" s="5" t="s">
        <v>52</v>
      </c>
      <c r="C13" s="6" t="n">
        <v>10.5</v>
      </c>
      <c r="D13" s="6" t="n">
        <v>1.5</v>
      </c>
      <c r="E13" s="7" t="n">
        <f aca="false">C13+D13</f>
        <v>12</v>
      </c>
      <c r="F13" s="5" t="s">
        <v>53</v>
      </c>
    </row>
    <row r="14" customFormat="false" ht="15" hidden="false" customHeight="false" outlineLevel="0" collapsed="false">
      <c r="B14" s="5" t="s">
        <v>54</v>
      </c>
      <c r="C14" s="6" t="n">
        <v>12</v>
      </c>
      <c r="D14" s="6" t="n">
        <v>2</v>
      </c>
      <c r="E14" s="7" t="n">
        <f aca="false">C14+D14</f>
        <v>14</v>
      </c>
      <c r="F14" s="5" t="s">
        <v>55</v>
      </c>
    </row>
    <row r="15" customFormat="false" ht="15" hidden="false" customHeight="false" outlineLevel="0" collapsed="false">
      <c r="B15" s="9" t="s">
        <v>56</v>
      </c>
      <c r="C15" s="10"/>
      <c r="D15" s="10"/>
      <c r="E15" s="9" t="n">
        <f aca="false">MAX(E6:E14)</f>
        <v>14</v>
      </c>
      <c r="F15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2026-07-29T20:33:09Z</dcterms:created>
  <dc:creator>openpyxl</dc:creator>
  <dc:description/>
  <dc:language>en-US</dc:language>
  <cp:lastModifiedBy/>
  <dcterms:modified xsi:type="dcterms:W3CDTF">2026-07-29T20:33:12Z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